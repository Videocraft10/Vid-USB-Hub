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_of_materials_with_links" sheetId="1" r:id="rId5"/>
  </sheets>
  <definedNames/>
  <calcPr/>
</workbook>
</file>

<file path=xl/sharedStrings.xml><?xml version="1.0" encoding="utf-8"?>
<sst xmlns="http://schemas.openxmlformats.org/spreadsheetml/2006/main" count="51" uniqueCount="46">
  <si>
    <t>PCB BOM</t>
  </si>
  <si>
    <t>Item</t>
  </si>
  <si>
    <t>JLCPCB #</t>
  </si>
  <si>
    <t>Single Cost</t>
  </si>
  <si>
    <t>Amount Used</t>
  </si>
  <si>
    <t>Fees</t>
  </si>
  <si>
    <t>Total Price</t>
  </si>
  <si>
    <t>USB Hub Chip</t>
  </si>
  <si>
    <t>Forced to order 5 minimum</t>
  </si>
  <si>
    <t>Resistor 5.1k</t>
  </si>
  <si>
    <t>None</t>
  </si>
  <si>
    <t>Capacitors 1uF</t>
  </si>
  <si>
    <t>Capacitors 100nF</t>
  </si>
  <si>
    <t>Power LED</t>
  </si>
  <si>
    <t>Resistor 330</t>
  </si>
  <si>
    <t>Type-A USBs</t>
  </si>
  <si>
    <t>Difficult Component Fee + $0.03 per. Plus Order must be a even number, forced to buy 8 (3 for 1 PCB = not even. Forced 4 for one = 8 for both)</t>
  </si>
  <si>
    <t>Type-C USBs</t>
  </si>
  <si>
    <t>Forced to buy 5</t>
  </si>
  <si>
    <t>PCB Price</t>
  </si>
  <si>
    <t>PCBA Price + Fees</t>
  </si>
  <si>
    <t>NOTES</t>
  </si>
  <si>
    <t>Setup Fee</t>
  </si>
  <si>
    <t>Stencil</t>
  </si>
  <si>
    <t>Components</t>
  </si>
  <si>
    <t>Extended Components Fee</t>
  </si>
  <si>
    <t>$3.04 per Extended Component (Underlined components are Extended)</t>
  </si>
  <si>
    <t>SMT Assembly</t>
  </si>
  <si>
    <t>$0.0016 Fee per solder point</t>
  </si>
  <si>
    <t>Special Componet Fee (Type-A USB Difficult fee)</t>
  </si>
  <si>
    <t>Nitrogen Reflow Soldering</t>
  </si>
  <si>
    <t>Total Cost for PCB + 2 PCBA</t>
  </si>
  <si>
    <t>Shipping Fee</t>
  </si>
  <si>
    <t>Sales Tax</t>
  </si>
  <si>
    <t>Grand Total</t>
  </si>
  <si>
    <t>PCB (5) + PCBA (2) + Shipping + Tax</t>
  </si>
  <si>
    <t>## Build BOM [WIP]</t>
  </si>
  <si>
    <t>Discripton</t>
  </si>
  <si>
    <t>Notes</t>
  </si>
  <si>
    <t>Cost/Amount Used</t>
  </si>
  <si>
    <t>3D Printer PLA</t>
  </si>
  <si>
    <t>Generic 3D printer PLA. Requires a 3D printer to use</t>
  </si>
  <si>
    <t>Paid $8.34 for 1 kg</t>
  </si>
  <si>
    <t>Aproxx 14g of filament = $0.12</t>
  </si>
  <si>
    <t>M2 x 3mm Screws</t>
  </si>
  <si>
    <t>4 Required for case v1, 8 required for case 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</si>
</sst>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2" t="str">
        <f>HYPERLINK("https://jlcpcb.com/partdetail/CoreChips-SL21s/C2684433", "C2684433")</f>
        <v>C2684433</v>
      </c>
      <c r="C3" s="3">
        <v>0.2245</v>
      </c>
      <c r="D3" s="1">
        <v>2.0</v>
      </c>
      <c r="E3" s="1" t="s">
        <v>8</v>
      </c>
      <c r="F3" s="3">
        <v>1.1225</v>
      </c>
    </row>
    <row r="4">
      <c r="A4" s="1" t="s">
        <v>9</v>
      </c>
      <c r="B4" s="2" t="str">
        <f>HYPERLINK("https://jlcpcb.com/partdetail/23913-0603WAF5101T5E/C23186", "C23186")</f>
        <v>C23186</v>
      </c>
      <c r="C4" s="3">
        <v>0.0016</v>
      </c>
      <c r="D4" s="1">
        <v>8.0</v>
      </c>
      <c r="E4" s="1" t="s">
        <v>10</v>
      </c>
      <c r="F4" s="3">
        <v>0.0128</v>
      </c>
    </row>
    <row r="5">
      <c r="A5" s="1" t="s">
        <v>11</v>
      </c>
      <c r="B5" s="2" t="str">
        <f>HYPERLINK("https://jlcpcb.com/partdetail/16531-CL10A105KB8NNNC/C15849", "C15849")</f>
        <v>C15849</v>
      </c>
      <c r="C5" s="3">
        <v>0.0078</v>
      </c>
      <c r="D5" s="1">
        <v>16.0</v>
      </c>
      <c r="E5" s="1" t="s">
        <v>10</v>
      </c>
      <c r="F5" s="3">
        <v>0.01248</v>
      </c>
    </row>
    <row r="6">
      <c r="A6" s="1" t="s">
        <v>12</v>
      </c>
      <c r="B6" s="2" t="str">
        <f>HYPERLINK("https://jlcpcb.com/partdetail/YAGEO-CC0603KRX7R9BB104/C14663", "C14663")</f>
        <v>C14663</v>
      </c>
      <c r="C6" s="3">
        <v>0.003</v>
      </c>
      <c r="D6" s="1">
        <v>6.0</v>
      </c>
      <c r="E6" s="1" t="s">
        <v>10</v>
      </c>
      <c r="F6" s="3">
        <v>0.018</v>
      </c>
    </row>
    <row r="7">
      <c r="A7" s="1" t="s">
        <v>13</v>
      </c>
      <c r="B7" s="2" t="str">
        <f>HYPERLINK("https://jlcpcb.com/partdetail/Hubei_KENTOElec-KT0603R/C2286", "C2286")</f>
        <v>C2286</v>
      </c>
      <c r="C7" s="3">
        <v>0.0066</v>
      </c>
      <c r="D7" s="1">
        <v>2.0</v>
      </c>
      <c r="E7" s="1" t="s">
        <v>10</v>
      </c>
      <c r="F7" s="3">
        <v>0.0132</v>
      </c>
    </row>
    <row r="8">
      <c r="A8" s="1" t="s">
        <v>14</v>
      </c>
      <c r="B8" s="2" t="str">
        <f>HYPERLINK("https://jlcpcb.com/partdetail/23865-0603WAF3300T5E/C23138", "C23138")</f>
        <v>C23138</v>
      </c>
      <c r="C8" s="3">
        <v>0.0016</v>
      </c>
      <c r="D8" s="1">
        <v>2.0</v>
      </c>
      <c r="E8" s="1" t="s">
        <v>10</v>
      </c>
      <c r="F8" s="3">
        <v>0.0032</v>
      </c>
    </row>
    <row r="9">
      <c r="A9" s="1" t="s">
        <v>15</v>
      </c>
      <c r="B9" s="2" t="str">
        <f>HYPERLINK("https://jlcpcb.com/partdetail/SHOUHAN-10_0_QHHTZB63/C668591", "C668591")</f>
        <v>C668591</v>
      </c>
      <c r="C9" s="3">
        <v>0.0662</v>
      </c>
      <c r="D9" s="1">
        <v>6.0</v>
      </c>
      <c r="E9" s="1" t="s">
        <v>16</v>
      </c>
      <c r="F9" s="3">
        <v>0.5296</v>
      </c>
    </row>
    <row r="10">
      <c r="A10" s="1" t="s">
        <v>17</v>
      </c>
      <c r="B10" s="2" t="str">
        <f>HYPERLINK("https://jlcpcb.com/partdetail/SHOUHAN-TYPE_C_16PIN_2MD_073/C2765186", "C2765186")</f>
        <v>C2765186</v>
      </c>
      <c r="C10" s="3">
        <v>0.066</v>
      </c>
      <c r="D10" s="1">
        <v>4.0</v>
      </c>
      <c r="E10" s="1" t="s">
        <v>18</v>
      </c>
      <c r="F10" s="3">
        <v>0.33</v>
      </c>
    </row>
    <row r="11">
      <c r="A11" s="1" t="s">
        <v>19</v>
      </c>
      <c r="C11" s="1" t="s">
        <v>20</v>
      </c>
      <c r="D11" s="1" t="s">
        <v>21</v>
      </c>
    </row>
    <row r="12">
      <c r="A12" s="4">
        <v>2.0</v>
      </c>
      <c r="C12" s="1" t="s">
        <v>22</v>
      </c>
      <c r="F12" s="3">
        <v>8.12</v>
      </c>
    </row>
    <row r="13">
      <c r="C13" s="1" t="s">
        <v>23</v>
      </c>
      <c r="F13" s="3">
        <v>1.52</v>
      </c>
    </row>
    <row r="14">
      <c r="C14" s="1" t="s">
        <v>24</v>
      </c>
      <c r="F14" s="3">
        <v>2.15</v>
      </c>
    </row>
    <row r="15">
      <c r="C15" s="1" t="s">
        <v>25</v>
      </c>
      <c r="D15" s="1" t="s">
        <v>26</v>
      </c>
      <c r="F15" s="3">
        <v>9.12</v>
      </c>
    </row>
    <row r="16">
      <c r="C16" s="1" t="s">
        <v>27</v>
      </c>
      <c r="D16" s="1" t="s">
        <v>28</v>
      </c>
      <c r="F16" s="3">
        <v>0.44</v>
      </c>
    </row>
    <row r="17">
      <c r="C17" s="1" t="s">
        <v>29</v>
      </c>
      <c r="F17" s="3">
        <v>0.24</v>
      </c>
    </row>
    <row r="18">
      <c r="C18" s="1" t="s">
        <v>30</v>
      </c>
      <c r="F18" s="3">
        <v>0.85</v>
      </c>
    </row>
    <row r="19">
      <c r="A19" s="1" t="s">
        <v>31</v>
      </c>
      <c r="F19" s="3">
        <v>24.44</v>
      </c>
    </row>
    <row r="20">
      <c r="A20" s="1" t="s">
        <v>32</v>
      </c>
      <c r="F20" s="3">
        <v>9.25</v>
      </c>
    </row>
    <row r="21">
      <c r="A21" s="1" t="s">
        <v>33</v>
      </c>
      <c r="F21" s="3">
        <v>2.23</v>
      </c>
    </row>
    <row r="22">
      <c r="A22" s="1" t="s">
        <v>34</v>
      </c>
      <c r="B22" s="1" t="s">
        <v>35</v>
      </c>
      <c r="F22" s="3">
        <v>35.92</v>
      </c>
    </row>
    <row r="24">
      <c r="A24" s="1" t="s">
        <v>36</v>
      </c>
    </row>
    <row r="25">
      <c r="A25" s="1" t="s">
        <v>1</v>
      </c>
      <c r="B25" s="1" t="s">
        <v>37</v>
      </c>
      <c r="C25" s="1" t="s">
        <v>38</v>
      </c>
      <c r="D25" s="1" t="s">
        <v>39</v>
      </c>
    </row>
    <row r="26">
      <c r="A26" s="1" t="s">
        <v>40</v>
      </c>
      <c r="B26" s="1" t="s">
        <v>41</v>
      </c>
      <c r="C26" s="1" t="s">
        <v>42</v>
      </c>
      <c r="D26" s="1" t="s">
        <v>43</v>
      </c>
    </row>
    <row r="27">
      <c r="A27" s="1" t="s">
        <v>44</v>
      </c>
      <c r="C27" s="1" t="s">
        <v>45</v>
      </c>
      <c r="D27" s="2" t="str">
        <f>HYPERLINK("https://www.moddiy.com/products/1262/M2.0-x-3mm-Black-Screws-CM2X3X4.html", "$0.80")</f>
        <v>$0.80</v>
      </c>
    </row>
  </sheetData>
  <drawing r:id="rId1"/>
</worksheet>
</file>